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ECON\Downloads\MANGGA\curso excel dio\"/>
    </mc:Choice>
  </mc:AlternateContent>
  <xr:revisionPtr revIDLastSave="0" documentId="13_ncr:1_{7FFC4AD6-8F0E-4578-8CB3-8809675178C3}" xr6:coauthVersionLast="47" xr6:coauthVersionMax="47" xr10:uidLastSave="{00000000-0000-0000-0000-000000000000}"/>
  <bookViews>
    <workbookView xWindow="-120" yWindow="-120" windowWidth="29040" windowHeight="15720" xr2:uid="{80DA05E2-D5DB-4860-9AE5-65CBCD2CA536}"/>
  </bookViews>
  <sheets>
    <sheet name="MANGGAINVEST" sheetId="1" r:id="rId1"/>
    <sheet name="APOIO" sheetId="2" r:id="rId2"/>
  </sheets>
  <definedNames>
    <definedName name="aporte">MANGGAINVEST!$D$18</definedName>
    <definedName name="patrimonio">MANGGAINVEST!$D$21</definedName>
    <definedName name="qtd_anos">MANGGAINVEST!$D$19</definedName>
    <definedName name="rendimento_carteira">MANGGAINVEST!$D$14</definedName>
    <definedName name="salario">MANGGAINVEST!$D$13</definedName>
    <definedName name="sugestao_investimento">MANGGAINVEST!$D$15</definedName>
    <definedName name="taxa_mensal">MANGGAINVEST!$D$20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41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<sst xmlns="http://schemas.openxmlformats.org/spreadsheetml/2006/main" count="69" uniqueCount="33">
  <si>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</si>
  <si>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</si>
  <si>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</si>
  <si>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Qual a 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</si>
  <si>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</si>
  <si>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</si>
  <si>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</si>
  <si>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</si>
  <si>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</si>
  <si>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</t>
  </si>
  <si>
    <t>Quanto em 20 Anos?</t>
  </si>
  <si>
    <t>Quanto em 30 Anos?</t>
  </si>
  <si>
    <t>Salário</t>
  </si>
  <si>
    <t>Rendimento Carteira</t>
  </si>
  <si>
    <t>CONFIGURAÇÕES</t>
  </si>
  <si>
    <t>DIVIDENDOS</t>
  </si>
  <si>
    <t>AGRESSIVO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</si>
  <si>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</si>
  <si>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</si>
  <si>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</si>
  <si>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</si>
  <si>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</si>
  <si>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</si>
  <si>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</si>
  <si>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</si>
  <si>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</si>
  <si>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</si>
  <si>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</si>
  <si>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</si>
  <si>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</si>
  <si>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 COMPOSTA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</si>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</sst>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7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20"/>
      <color theme="0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20"/>
      <color rgb="FFFF66CC"/>
      <name val="Aptos Display"/>
      <family val="2"/>
      <scheme val="major"/>
    </font>
    <font>
      <b/>
      <sz val="12"/>
      <color rgb="FFFF66CC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10" xfId="0" applyBorder="1"/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vertical="center"/>
    </xf>
    <xf numFmtId="0" fontId="4" fillId="0" borderId="0" xfId="0" applyFont="1"/>
    <xf numFmtId="0" fontId="9" fillId="4" borderId="14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indent="2"/>
    </xf>
    <xf numFmtId="0" fontId="5" fillId="2" borderId="19" xfId="0" applyFont="1" applyFill="1" applyBorder="1" applyAlignment="1">
      <alignment horizontal="left" vertical="center" indent="2"/>
    </xf>
    <xf numFmtId="167" fontId="5" fillId="0" borderId="20" xfId="0" applyNumberFormat="1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indent="2"/>
    </xf>
    <xf numFmtId="0" fontId="5" fillId="2" borderId="22" xfId="0" applyFont="1" applyFill="1" applyBorder="1" applyAlignment="1">
      <alignment horizontal="left" vertical="center" indent="2"/>
    </xf>
    <xf numFmtId="10" fontId="5" fillId="0" borderId="23" xfId="0" applyNumberFormat="1" applyFont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 indent="2"/>
    </xf>
    <xf numFmtId="0" fontId="5" fillId="2" borderId="25" xfId="0" applyFont="1" applyFill="1" applyBorder="1" applyAlignment="1">
      <alignment horizontal="left" vertical="center" indent="2"/>
    </xf>
    <xf numFmtId="167" fontId="5" fillId="0" borderId="26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indent="2"/>
    </xf>
    <xf numFmtId="0" fontId="5" fillId="0" borderId="19" xfId="0" applyFont="1" applyBorder="1" applyAlignment="1">
      <alignment horizontal="left" vertical="center" indent="2"/>
    </xf>
    <xf numFmtId="167" fontId="6" fillId="0" borderId="20" xfId="2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indent="2"/>
    </xf>
    <xf numFmtId="0" fontId="5" fillId="0" borderId="22" xfId="0" applyFont="1" applyBorder="1" applyAlignment="1">
      <alignment horizontal="left" vertical="center" indent="2"/>
    </xf>
    <xf numFmtId="0" fontId="6" fillId="0" borderId="23" xfId="0" applyFont="1" applyBorder="1" applyAlignment="1">
      <alignment horizontal="center" vertical="center"/>
    </xf>
    <xf numFmtId="10" fontId="6" fillId="0" borderId="23" xfId="1" applyNumberFormat="1" applyFont="1" applyBorder="1" applyAlignment="1">
      <alignment horizontal="center" vertical="center"/>
    </xf>
    <xf numFmtId="8" fontId="6" fillId="3" borderId="23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 indent="2"/>
    </xf>
    <xf numFmtId="0" fontId="6" fillId="3" borderId="25" xfId="0" applyFont="1" applyFill="1" applyBorder="1" applyAlignment="1">
      <alignment horizontal="left" vertical="center" indent="2"/>
    </xf>
    <xf numFmtId="8" fontId="6" fillId="3" borderId="26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indent="2"/>
    </xf>
    <xf numFmtId="8" fontId="5" fillId="3" borderId="19" xfId="0" applyNumberFormat="1" applyFont="1" applyFill="1" applyBorder="1" applyAlignment="1">
      <alignment horizontal="center" vertical="center"/>
    </xf>
    <xf numFmtId="8" fontId="5" fillId="3" borderId="20" xfId="0" applyNumberFormat="1" applyFont="1" applyFill="1" applyBorder="1" applyAlignment="1">
      <alignment horizontal="center"/>
    </xf>
    <xf numFmtId="0" fontId="5" fillId="3" borderId="21" xfId="0" applyFont="1" applyFill="1" applyBorder="1" applyAlignment="1">
      <alignment horizontal="left" indent="2"/>
    </xf>
    <xf numFmtId="8" fontId="5" fillId="3" borderId="22" xfId="0" applyNumberFormat="1" applyFont="1" applyFill="1" applyBorder="1" applyAlignment="1">
      <alignment horizontal="center" vertical="center"/>
    </xf>
    <xf numFmtId="8" fontId="5" fillId="3" borderId="23" xfId="0" applyNumberFormat="1" applyFont="1" applyFill="1" applyBorder="1" applyAlignment="1">
      <alignment horizontal="center"/>
    </xf>
    <xf numFmtId="0" fontId="5" fillId="3" borderId="24" xfId="0" applyFont="1" applyFill="1" applyBorder="1" applyAlignment="1">
      <alignment horizontal="left" indent="2"/>
    </xf>
    <xf numFmtId="8" fontId="5" fillId="3" borderId="25" xfId="0" applyNumberFormat="1" applyFont="1" applyFill="1" applyBorder="1" applyAlignment="1">
      <alignment horizontal="center" vertical="center"/>
    </xf>
    <xf numFmtId="8" fontId="5" fillId="3" borderId="26" xfId="0" applyNumberFormat="1" applyFont="1" applyFill="1" applyBorder="1" applyAlignment="1">
      <alignment horizontal="center"/>
    </xf>
    <xf numFmtId="0" fontId="0" fillId="7" borderId="0" xfId="0" applyFill="1"/>
    <xf numFmtId="0" fontId="0" fillId="3" borderId="0" xfId="0" applyFill="1"/>
    <xf numFmtId="0" fontId="2" fillId="3" borderId="0" xfId="0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9" fontId="0" fillId="0" borderId="0" xfId="0" applyNumberFormat="1" applyAlignment="1">
      <alignment horizontal="center"/>
    </xf>
    <xf numFmtId="0" fontId="2" fillId="8" borderId="0" xfId="0" applyFont="1" applyFill="1"/>
    <xf numFmtId="167" fontId="2" fillId="8" borderId="0" xfId="0" applyNumberFormat="1" applyFont="1" applyFill="1" applyAlignment="1">
      <alignment horizontal="center"/>
    </xf>
    <xf numFmtId="0" fontId="6" fillId="3" borderId="27" xfId="0" applyFont="1" applyFill="1" applyBorder="1" applyAlignment="1">
      <alignment horizontal="left" vertical="center" indent="2"/>
    </xf>
    <xf numFmtId="0" fontId="6" fillId="3" borderId="28" xfId="0" applyFont="1" applyFill="1" applyBorder="1" applyAlignment="1">
      <alignment horizontal="left" vertical="center" indent="2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NumberFormat="1"/>
    <xf numFmtId="9" fontId="0" fillId="0" borderId="0" xfId="3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2" fillId="7" borderId="0" xfId="0" applyFont="1" applyFill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MANGGAINVEST!$C$34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MANGGAINVEST!$B$35:$B$40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MANGGAINVEST!$C$35:$C$40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D-437A-9BA6-EE946E365D9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104775</xdr:rowOff>
    </xdr:from>
    <xdr:to>
      <xdr:col>4</xdr:col>
      <xdr:colOff>0</xdr:colOff>
      <xdr:row>9</xdr:row>
      <xdr:rowOff>188461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03AC2C4-C65D-E30C-29C7-7AD6811EE5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222" b="23505"/>
        <a:stretch>
          <a:fillRect/>
        </a:stretch>
      </xdr:blipFill>
      <xdr:spPr>
        <a:xfrm>
          <a:off x="257174" y="104775"/>
          <a:ext cx="6981826" cy="1798186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43</xdr:row>
      <xdr:rowOff>71437</xdr:rowOff>
    </xdr:from>
    <xdr:to>
      <xdr:col>3</xdr:col>
      <xdr:colOff>971549</xdr:colOff>
      <xdr:row>61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F661A8-3364-F512-ED9F-109073399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7DDC-03E7-45A6-A1F9-18426F015C0E}">
  <dimension ref="A11:G41"/>
  <sheetViews>
    <sheetView showGridLines="0" tabSelected="1" topLeftCell="A28" workbookViewId="0">
      <selection activeCell="C31" sqref="C31"/>
    </sheetView>
  </sheetViews>
  <sheetFormatPr defaultColWidth="0" defaultRowHeight="15" x14ac:dyDescent="0.25"/>
  <cols>
    <col min="1" max="1" width="4.28515625" customWidth="1"/>
    <col min="2" max="2" width="58.7109375" customWidth="1"/>
    <col min="3" max="3" width="30.7109375" bestFit="1" customWidth="1"/>
    <col min="4" max="4" width="14.85546875" customWidth="1"/>
    <col min="5" max="8" width="5.140625" customWidth="1"/>
    <col min="9" max="11" width="9.140625" hidden="1" customWidth="1"/>
    <col min="12" max="16384" width="9.140625" hidden="1"/>
  </cols>
  <sheetData>
    <row r="11" spans="2:4" ht="15.75" customHeight="1" thickBot="1" x14ac:dyDescent="0.3"/>
    <row r="12" spans="2:4" ht="26.25" x14ac:dyDescent="0.25">
      <c r="B12" s="4" t="s">
        <v>14</v>
      </c>
      <c r="C12" s="5"/>
      <c r="D12" s="6"/>
    </row>
    <row r="13" spans="2:4" ht="15.75" customHeight="1" x14ac:dyDescent="0.25">
      <c r="B13" s="14" t="s">
        <v>12</v>
      </c>
      <c r="C13" s="15"/>
      <c r="D13" s="16">
        <v>5000</v>
      </c>
    </row>
    <row r="14" spans="2:4" ht="15.75" customHeight="1" x14ac:dyDescent="0.25">
      <c r="B14" s="17" t="s">
        <v>13</v>
      </c>
      <c r="C14" s="18"/>
      <c r="D14" s="19">
        <v>6.0000000000000001E-3</v>
      </c>
    </row>
    <row r="15" spans="2:4" ht="15.75" customHeight="1" thickBot="1" x14ac:dyDescent="0.3">
      <c r="B15" s="20" t="s">
        <v>32</v>
      </c>
      <c r="C15" s="21"/>
      <c r="D15" s="22">
        <f>D13*30%</f>
        <v>1500</v>
      </c>
    </row>
    <row r="16" spans="2:4" ht="15.75" customHeight="1" thickBot="1" x14ac:dyDescent="0.3">
      <c r="B16" s="7"/>
      <c r="C16" s="7"/>
      <c r="D16" s="7"/>
    </row>
    <row r="17" spans="1:4" ht="26.25" x14ac:dyDescent="0.25">
      <c r="B17" s="8" t="s">
        <v>0</v>
      </c>
      <c r="C17" s="9"/>
      <c r="D17" s="10"/>
    </row>
    <row r="18" spans="1:4" ht="15.75" x14ac:dyDescent="0.25">
      <c r="B18" s="23" t="s">
        <v>1</v>
      </c>
      <c r="C18" s="24"/>
      <c r="D18" s="25">
        <v>500</v>
      </c>
    </row>
    <row r="19" spans="1:4" ht="15.75" x14ac:dyDescent="0.25">
      <c r="B19" s="26" t="s">
        <v>2</v>
      </c>
      <c r="C19" s="27"/>
      <c r="D19" s="28">
        <v>5</v>
      </c>
    </row>
    <row r="20" spans="1:4" ht="15.75" x14ac:dyDescent="0.25">
      <c r="B20" s="26" t="s">
        <v>3</v>
      </c>
      <c r="C20" s="27"/>
      <c r="D20" s="29">
        <v>1.0789999999999999E-2</v>
      </c>
    </row>
    <row r="21" spans="1:4" ht="15.75" x14ac:dyDescent="0.25">
      <c r="B21" s="50" t="s">
        <v>4</v>
      </c>
      <c r="C21" s="51"/>
      <c r="D21" s="30">
        <f>FV(taxa_mensal,qtd_anos*12,aporte*-1)</f>
        <v>41888.456999243819</v>
      </c>
    </row>
    <row r="22" spans="1:4" ht="16.5" thickBot="1" x14ac:dyDescent="0.3">
      <c r="B22" s="31" t="s">
        <v>5</v>
      </c>
      <c r="C22" s="32"/>
      <c r="D22" s="33">
        <f>patrimonio*rendimento_carteira</f>
        <v>251.33074199546292</v>
      </c>
    </row>
    <row r="23" spans="1:4" ht="15.75" thickBot="1" x14ac:dyDescent="0.3">
      <c r="B23" s="7"/>
      <c r="C23" s="7"/>
      <c r="D23" s="7"/>
    </row>
    <row r="24" spans="1:4" ht="26.25" x14ac:dyDescent="0.25">
      <c r="B24" s="11" t="s">
        <v>6</v>
      </c>
      <c r="C24" s="12"/>
      <c r="D24" s="13" t="s">
        <v>15</v>
      </c>
    </row>
    <row r="25" spans="1:4" ht="15.75" x14ac:dyDescent="0.25">
      <c r="A25" s="2">
        <v>2</v>
      </c>
      <c r="B25" s="34" t="s">
        <v>7</v>
      </c>
      <c r="C25" s="35">
        <f>FV($D$20,$A25*12,$D$18*-1)</f>
        <v>13613.813648822608</v>
      </c>
      <c r="D25" s="36">
        <f>C25*rendimento_carteira</f>
        <v>81.682881892935654</v>
      </c>
    </row>
    <row r="26" spans="1:4" ht="15.75" x14ac:dyDescent="0.25">
      <c r="A26" s="2">
        <v>5</v>
      </c>
      <c r="B26" s="37" t="s">
        <v>8</v>
      </c>
      <c r="C26" s="38">
        <f>FV($D$20,$A26*12,$D$18*-1)</f>
        <v>41888.456999243819</v>
      </c>
      <c r="D26" s="39">
        <f>C26*rendimento_carteira</f>
        <v>251.33074199546292</v>
      </c>
    </row>
    <row r="27" spans="1:4" ht="15.75" x14ac:dyDescent="0.25">
      <c r="A27" s="2">
        <v>10</v>
      </c>
      <c r="B27" s="37" t="s">
        <v>9</v>
      </c>
      <c r="C27" s="38">
        <f>FV($D$20,$A27*12,$D$18*-1)</f>
        <v>121642.1062650861</v>
      </c>
      <c r="D27" s="39">
        <f>C27*rendimento_carteira</f>
        <v>729.85263759051657</v>
      </c>
    </row>
    <row r="28" spans="1:4" ht="15.75" x14ac:dyDescent="0.25">
      <c r="A28" s="2">
        <v>20</v>
      </c>
      <c r="B28" s="37" t="s">
        <v>10</v>
      </c>
      <c r="C28" s="38">
        <f>FV($D$20,$A28*12,$D$18*-1)</f>
        <v>562599.20004854025</v>
      </c>
      <c r="D28" s="39">
        <f>C28*rendimento_carteira</f>
        <v>3375.5952002912418</v>
      </c>
    </row>
    <row r="29" spans="1:4" ht="16.5" thickBot="1" x14ac:dyDescent="0.3">
      <c r="A29" s="2">
        <v>30</v>
      </c>
      <c r="B29" s="40" t="s">
        <v>11</v>
      </c>
      <c r="C29" s="41">
        <f>FV($D$20,$A29*12,$D$18*-1)</f>
        <v>2161084.8275023573</v>
      </c>
      <c r="D29" s="42">
        <f>C29*rendimento_carteira</f>
        <v>12966.508965014144</v>
      </c>
    </row>
    <row r="31" spans="1:4" x14ac:dyDescent="0.25">
      <c r="B31" s="68" t="s">
        <v>17</v>
      </c>
      <c r="C31" s="68" t="s">
        <v>31</v>
      </c>
      <c r="D31" s="43"/>
    </row>
    <row r="32" spans="1:4" x14ac:dyDescent="0.25">
      <c r="B32" s="45" t="s">
        <v>18</v>
      </c>
      <c r="C32" s="46">
        <v>500</v>
      </c>
      <c r="D32" s="44"/>
    </row>
    <row r="34" spans="2:4" x14ac:dyDescent="0.25">
      <c r="B34" s="58" t="s">
        <v>19</v>
      </c>
      <c r="C34" s="58" t="s">
        <v>20</v>
      </c>
      <c r="D34" s="58" t="s">
        <v>21</v>
      </c>
    </row>
    <row r="35" spans="2:4" x14ac:dyDescent="0.25">
      <c r="B35" s="59" t="s">
        <v>22</v>
      </c>
      <c r="C35" s="60">
        <f>VLOOKUP($C$31&amp;"-"&amp;B35,APOIO!$A:$D,4,FALSE)</f>
        <v>0.32</v>
      </c>
      <c r="D35" s="61">
        <f>C35*$C$32</f>
        <v>160</v>
      </c>
    </row>
    <row r="36" spans="2:4" x14ac:dyDescent="0.25">
      <c r="B36" s="62" t="s">
        <v>23</v>
      </c>
      <c r="C36" s="63">
        <f>VLOOKUP($C$31&amp;"-"&amp;B36,APOIO!$A:$D,4,FALSE)</f>
        <v>0.35</v>
      </c>
      <c r="D36" s="64">
        <f t="shared" ref="D36:D40" si="0">C36*$C$32</f>
        <v>175</v>
      </c>
    </row>
    <row r="37" spans="2:4" x14ac:dyDescent="0.25">
      <c r="B37" s="62" t="s">
        <v>24</v>
      </c>
      <c r="C37" s="63">
        <f>VLOOKUP($C$31&amp;"-"&amp;B37,APOIO!$A:$D,4,FALSE)</f>
        <v>0.08</v>
      </c>
      <c r="D37" s="64">
        <f t="shared" si="0"/>
        <v>40</v>
      </c>
    </row>
    <row r="38" spans="2:4" x14ac:dyDescent="0.25">
      <c r="B38" s="62" t="s">
        <v>25</v>
      </c>
      <c r="C38" s="63">
        <f>VLOOKUP($C$31&amp;"-"&amp;B38,APOIO!$A:$D,4,FALSE)</f>
        <v>0.05</v>
      </c>
      <c r="D38" s="64">
        <f t="shared" si="0"/>
        <v>25</v>
      </c>
    </row>
    <row r="39" spans="2:4" x14ac:dyDescent="0.25">
      <c r="B39" s="62" t="s">
        <v>26</v>
      </c>
      <c r="C39" s="63">
        <f>VLOOKUP($C$31&amp;"-"&amp;B39,APOIO!$A:$D,4,FALSE)</f>
        <v>0.1</v>
      </c>
      <c r="D39" s="64">
        <f t="shared" si="0"/>
        <v>50</v>
      </c>
    </row>
    <row r="40" spans="2:4" x14ac:dyDescent="0.25">
      <c r="B40" s="65" t="s">
        <v>27</v>
      </c>
      <c r="C40" s="66">
        <f>VLOOKUP($C$31&amp;"-"&amp;B40,APOIO!$A:$D,4,FALSE)</f>
        <v>0.1</v>
      </c>
      <c r="D40" s="67">
        <f t="shared" si="0"/>
        <v>50</v>
      </c>
    </row>
    <row r="41" spans="2:4" x14ac:dyDescent="0.25">
      <c r="B41" s="48"/>
      <c r="C41" s="48"/>
      <c r="D41" s="49">
        <f>SUM(D35:D40)</f>
        <v>500</v>
      </c>
    </row>
  </sheetData>
  <mergeCells count="11">
    <mergeCell ref="B22:C22"/>
    <mergeCell ref="B12:C12"/>
    <mergeCell ref="B13:C13"/>
    <mergeCell ref="B14:C14"/>
    <mergeCell ref="B15:C15"/>
    <mergeCell ref="B17:C17"/>
    <mergeCell ref="B24:C24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14351AF8-4BEF-4FA8-AE5F-7DF24AF1201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DB36-453C-4F4C-B7BB-0F74A8320A97}">
  <dimension ref="A2:D22"/>
  <sheetViews>
    <sheetView workbookViewId="0">
      <selection activeCell="A2" sqref="A2:D2"/>
    </sheetView>
  </sheetViews>
  <sheetFormatPr defaultRowHeight="15" x14ac:dyDescent="0.25"/>
  <cols>
    <col min="1" max="1" width="30.7109375" bestFit="1" customWidth="1"/>
    <col min="2" max="2" width="14.42578125" bestFit="1" customWidth="1"/>
    <col min="3" max="3" width="16.140625" bestFit="1" customWidth="1"/>
  </cols>
  <sheetData>
    <row r="2" spans="1:4" x14ac:dyDescent="0.25">
      <c r="A2" s="57" t="s">
        <v>30</v>
      </c>
      <c r="B2" s="57" t="s">
        <v>17</v>
      </c>
      <c r="C2" s="57" t="s">
        <v>19</v>
      </c>
      <c r="D2" s="57" t="s">
        <v>29</v>
      </c>
    </row>
    <row r="3" spans="1:4" x14ac:dyDescent="0.25">
      <c r="A3" t="str">
        <f>$B3&amp;"-"&amp;C3</f>
        <v>CONSERVADOR-Papel</v>
      </c>
      <c r="B3" t="s">
        <v>28</v>
      </c>
      <c r="C3" s="1" t="s">
        <v>22</v>
      </c>
      <c r="D3" s="47">
        <v>0.3</v>
      </c>
    </row>
    <row r="4" spans="1:4" x14ac:dyDescent="0.25">
      <c r="A4" t="str">
        <f t="shared" ref="A4:A20" si="0">$B4&amp;"-"&amp;C4</f>
        <v>CONSERVADOR-Tijolo</v>
      </c>
      <c r="B4" t="s">
        <v>28</v>
      </c>
      <c r="C4" s="1" t="s">
        <v>23</v>
      </c>
      <c r="D4" s="47">
        <v>0.5</v>
      </c>
    </row>
    <row r="5" spans="1:4" x14ac:dyDescent="0.25">
      <c r="A5" t="str">
        <f t="shared" si="0"/>
        <v>CONSERVADOR-Híbridos</v>
      </c>
      <c r="B5" t="s">
        <v>28</v>
      </c>
      <c r="C5" s="1" t="s">
        <v>24</v>
      </c>
      <c r="D5" s="47">
        <v>0.1</v>
      </c>
    </row>
    <row r="6" spans="1:4" x14ac:dyDescent="0.25">
      <c r="A6" t="str">
        <f t="shared" si="0"/>
        <v>CONSERVADOR-FOFs</v>
      </c>
      <c r="B6" t="s">
        <v>28</v>
      </c>
      <c r="C6" s="1" t="s">
        <v>25</v>
      </c>
      <c r="D6" s="47">
        <v>0.1</v>
      </c>
    </row>
    <row r="7" spans="1:4" x14ac:dyDescent="0.25">
      <c r="A7" t="str">
        <f t="shared" si="0"/>
        <v>CONSERVADOR-Desenvolvimento</v>
      </c>
      <c r="B7" t="s">
        <v>28</v>
      </c>
      <c r="C7" s="1" t="s">
        <v>26</v>
      </c>
      <c r="D7" s="47">
        <v>0</v>
      </c>
    </row>
    <row r="8" spans="1:4" ht="15.75" thickBot="1" x14ac:dyDescent="0.3">
      <c r="A8" s="3" t="str">
        <f t="shared" si="0"/>
        <v>CONSERVADOR-Hotelarias</v>
      </c>
      <c r="B8" s="3" t="s">
        <v>28</v>
      </c>
      <c r="C8" s="52" t="s">
        <v>27</v>
      </c>
      <c r="D8" s="53">
        <v>0</v>
      </c>
    </row>
    <row r="9" spans="1:4" x14ac:dyDescent="0.25">
      <c r="A9" t="str">
        <f t="shared" si="0"/>
        <v>MODERADO-Papel</v>
      </c>
      <c r="B9" s="1" t="s">
        <v>31</v>
      </c>
      <c r="C9" s="1" t="s">
        <v>22</v>
      </c>
      <c r="D9" s="54">
        <v>0.32</v>
      </c>
    </row>
    <row r="10" spans="1:4" x14ac:dyDescent="0.25">
      <c r="A10" t="str">
        <f t="shared" si="0"/>
        <v>MODERADO-Tijolo</v>
      </c>
      <c r="B10" s="1" t="s">
        <v>31</v>
      </c>
      <c r="C10" s="1" t="s">
        <v>23</v>
      </c>
      <c r="D10" s="54">
        <v>0.35</v>
      </c>
    </row>
    <row r="11" spans="1:4" x14ac:dyDescent="0.25">
      <c r="A11" t="str">
        <f t="shared" si="0"/>
        <v>MODERADO-Híbridos</v>
      </c>
      <c r="B11" s="1" t="s">
        <v>31</v>
      </c>
      <c r="C11" s="1" t="s">
        <v>24</v>
      </c>
      <c r="D11" s="54">
        <v>0.08</v>
      </c>
    </row>
    <row r="12" spans="1:4" x14ac:dyDescent="0.25">
      <c r="A12" t="str">
        <f t="shared" si="0"/>
        <v>MODERADO-FOFs</v>
      </c>
      <c r="B12" s="1" t="s">
        <v>31</v>
      </c>
      <c r="C12" s="1" t="s">
        <v>25</v>
      </c>
      <c r="D12" s="54">
        <v>0.05</v>
      </c>
    </row>
    <row r="13" spans="1:4" x14ac:dyDescent="0.25">
      <c r="A13" t="str">
        <f t="shared" si="0"/>
        <v>MODERADO-Desenvolvimento</v>
      </c>
      <c r="B13" s="1" t="s">
        <v>31</v>
      </c>
      <c r="C13" s="1" t="s">
        <v>26</v>
      </c>
      <c r="D13" s="54">
        <v>0.1</v>
      </c>
    </row>
    <row r="14" spans="1:4" ht="15.75" thickBot="1" x14ac:dyDescent="0.3">
      <c r="A14" s="3" t="str">
        <f t="shared" si="0"/>
        <v>MODERADO-Hotelarias</v>
      </c>
      <c r="B14" s="52" t="s">
        <v>31</v>
      </c>
      <c r="C14" s="52" t="s">
        <v>27</v>
      </c>
      <c r="D14" s="53">
        <v>0.1</v>
      </c>
    </row>
    <row r="15" spans="1:4" x14ac:dyDescent="0.25">
      <c r="A15" t="str">
        <f t="shared" si="0"/>
        <v>AGRESSIVO-Papel</v>
      </c>
      <c r="B15" s="1" t="s">
        <v>16</v>
      </c>
      <c r="C15" s="1" t="s">
        <v>22</v>
      </c>
      <c r="D15" s="54">
        <v>0.5</v>
      </c>
    </row>
    <row r="16" spans="1:4" x14ac:dyDescent="0.25">
      <c r="A16" t="str">
        <f t="shared" si="0"/>
        <v>AGRESSIVO-Tijolo</v>
      </c>
      <c r="B16" s="1" t="s">
        <v>16</v>
      </c>
      <c r="C16" s="1" t="s">
        <v>23</v>
      </c>
      <c r="D16" s="54">
        <v>0.1</v>
      </c>
    </row>
    <row r="17" spans="1:4" x14ac:dyDescent="0.25">
      <c r="A17" t="str">
        <f t="shared" si="0"/>
        <v>AGRESSIVO-Híbridos</v>
      </c>
      <c r="B17" s="1" t="s">
        <v>16</v>
      </c>
      <c r="C17" s="1" t="s">
        <v>24</v>
      </c>
      <c r="D17" s="56">
        <v>0.05</v>
      </c>
    </row>
    <row r="18" spans="1:4" x14ac:dyDescent="0.25">
      <c r="A18" t="str">
        <f t="shared" si="0"/>
        <v>AGRESSIVO-FOFs</v>
      </c>
      <c r="B18" s="1" t="s">
        <v>16</v>
      </c>
      <c r="C18" s="1" t="s">
        <v>25</v>
      </c>
      <c r="D18" s="56">
        <v>0.05</v>
      </c>
    </row>
    <row r="19" spans="1:4" x14ac:dyDescent="0.25">
      <c r="A19" t="str">
        <f t="shared" si="0"/>
        <v>AGRESSIVO-Desenvolvimento</v>
      </c>
      <c r="B19" s="1" t="s">
        <v>16</v>
      </c>
      <c r="C19" s="1" t="s">
        <v>26</v>
      </c>
      <c r="D19" s="56">
        <v>0.2</v>
      </c>
    </row>
    <row r="20" spans="1:4" x14ac:dyDescent="0.25">
      <c r="A20" t="str">
        <f t="shared" si="0"/>
        <v>AGRESSIVO-Hotelarias</v>
      </c>
      <c r="B20" s="1" t="s">
        <v>16</v>
      </c>
      <c r="C20" s="1" t="s">
        <v>27</v>
      </c>
      <c r="D20" s="56">
        <v>0.1</v>
      </c>
    </row>
    <row r="21" spans="1:4" x14ac:dyDescent="0.25">
      <c r="D21" s="55"/>
    </row>
    <row r="22" spans="1:4" x14ac:dyDescent="0.25">
      <c r="D22" s="5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MANGGAINVEST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Lopes</dc:creator>
  <cp:lastModifiedBy>Anderson Lopes</cp:lastModifiedBy>
  <dcterms:created xsi:type="dcterms:W3CDTF">2026-09-24T16:15:38Z</dcterms:created>
  <dcterms:modified xsi:type="dcterms:W3CDTF">2026-09-24T18:50:32Z</dcterms:modified>
</cp:coreProperties>
</file>